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1ee393fd8752c856/Desktop/Magazin/"/>
    </mc:Choice>
  </mc:AlternateContent>
  <xr:revisionPtr revIDLastSave="1" documentId="11_F25DC773A252ABDACC1048CF991D5A665BDE58F3" xr6:coauthVersionLast="47" xr6:coauthVersionMax="47" xr10:uidLastSave="{254A847E-6858-4045-935D-2E719D6D9A8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1" l="1"/>
  <c r="D13" i="1"/>
  <c r="D12" i="1"/>
  <c r="D11" i="1"/>
  <c r="D10" i="1"/>
  <c r="D9" i="1"/>
  <c r="D8" i="1"/>
  <c r="D7" i="1"/>
  <c r="D6" i="1"/>
  <c r="G4" i="1"/>
  <c r="H4" i="1" s="1"/>
  <c r="G5" i="1"/>
  <c r="H5" i="1" s="1"/>
  <c r="G6" i="1"/>
  <c r="H6" i="1"/>
  <c r="I6" i="1" s="1"/>
  <c r="G7" i="1"/>
  <c r="H7" i="1" s="1"/>
  <c r="G8" i="1"/>
  <c r="H8" i="1" s="1"/>
  <c r="G9" i="1"/>
  <c r="H9" i="1" s="1"/>
  <c r="G10" i="1"/>
  <c r="H10" i="1"/>
  <c r="I10" i="1" s="1"/>
  <c r="G11" i="1"/>
  <c r="H11" i="1" s="1"/>
  <c r="G12" i="1"/>
  <c r="H12" i="1" s="1"/>
  <c r="G13" i="1"/>
  <c r="H13" i="1"/>
  <c r="J13" i="1" s="1"/>
  <c r="I13" i="1"/>
  <c r="G14" i="1"/>
  <c r="H14" i="1" s="1"/>
  <c r="D5" i="1"/>
  <c r="D4" i="1"/>
  <c r="K3" i="1"/>
  <c r="J3" i="1"/>
  <c r="I3" i="1"/>
  <c r="G3" i="1"/>
  <c r="H3" i="1" s="1"/>
  <c r="D3" i="1"/>
  <c r="I14" i="1" l="1"/>
  <c r="K14" i="1"/>
  <c r="J14" i="1"/>
  <c r="K8" i="1"/>
  <c r="I8" i="1"/>
  <c r="J8" i="1"/>
  <c r="K6" i="1"/>
  <c r="J6" i="1"/>
  <c r="K11" i="1"/>
  <c r="I11" i="1"/>
  <c r="J11" i="1"/>
  <c r="I7" i="1"/>
  <c r="J7" i="1"/>
  <c r="K7" i="1"/>
  <c r="I9" i="1"/>
  <c r="J9" i="1"/>
  <c r="K9" i="1"/>
  <c r="J5" i="1"/>
  <c r="I5" i="1"/>
  <c r="K5" i="1"/>
  <c r="I12" i="1"/>
  <c r="J12" i="1"/>
  <c r="K12" i="1"/>
  <c r="I4" i="1"/>
  <c r="J4" i="1"/>
  <c r="K4" i="1"/>
  <c r="K10" i="1"/>
  <c r="K13" i="1"/>
  <c r="J10" i="1"/>
</calcChain>
</file>

<file path=xl/sharedStrings.xml><?xml version="1.0" encoding="utf-8"?>
<sst xmlns="http://schemas.openxmlformats.org/spreadsheetml/2006/main" count="23" uniqueCount="23">
  <si>
    <t>Nr. d/o</t>
  </si>
  <si>
    <t>Denumirea produsului</t>
  </si>
  <si>
    <t>Greutatea</t>
  </si>
  <si>
    <t>Cost transport</t>
  </si>
  <si>
    <t>Suma totală din factura</t>
  </si>
  <si>
    <t>Cantitatea</t>
  </si>
  <si>
    <t>Pret (lei/un)</t>
  </si>
  <si>
    <t>Pret (euro)</t>
  </si>
  <si>
    <t>Cost preț magazin 50%</t>
  </si>
  <si>
    <t>Cost preț magazin 70%</t>
  </si>
  <si>
    <t>Cost preț magazin 100%</t>
  </si>
  <si>
    <t>Șprot de Riga</t>
  </si>
  <si>
    <t>Arpacași/ perlovca</t>
  </si>
  <si>
    <t>Hrean Veres</t>
  </si>
  <si>
    <t>Cioco Fruvit Caise &amp; Migdale</t>
  </si>
  <si>
    <t>Bomboane Korovka Roshen</t>
  </si>
  <si>
    <t>Brînză de vaci   5,5% Latti</t>
  </si>
  <si>
    <t>Pelimeni Bogatîrskie</t>
  </si>
  <si>
    <t>Salam Frugal</t>
  </si>
  <si>
    <t xml:space="preserve">Doctorscaia  Pegas vrag </t>
  </si>
  <si>
    <t>Divin Bardar Silver 5 ani</t>
  </si>
  <si>
    <t>Vin Cab - Sauvignon Purcari</t>
  </si>
  <si>
    <t>Vin Spumant Pinot Noir Cricova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</si>
</sst>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/>
    <xf numFmtId="2" fontId="0" fillId="0" borderId="0" xfId="0" applyNumberForma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0" fillId="2" borderId="0" xfId="0" applyFill="1"/>
    <xf numFmtId="0" fontId="2" fillId="2" borderId="2" xfId="0" applyFont="1" applyFill="1" applyBorder="1"/>
    <xf numFmtId="0" fontId="2" fillId="2" borderId="1" xfId="0" applyFont="1" applyFill="1" applyBorder="1" applyAlignment="1">
      <alignment horizontal="left" vertical="center"/>
    </xf>
    <xf numFmtId="0" fontId="0" fillId="0" borderId="3" xfId="0" applyBorder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4"/>
  <sheetViews>
    <sheetView tabSelected="1" workbookViewId="0">
      <selection activeCell="M15" sqref="M15"/>
    </sheetView>
  </sheetViews>
  <sheetFormatPr defaultRowHeight="14.4" x14ac:dyDescent="0.3"/>
  <cols>
    <col min="1" max="1" width="5.21875" customWidth="1"/>
    <col min="2" max="2" width="34.77734375" customWidth="1"/>
    <col min="3" max="3" width="12.21875" customWidth="1"/>
    <col min="4" max="4" width="11.6640625" customWidth="1"/>
    <col min="5" max="5" width="10.6640625" customWidth="1"/>
    <col min="6" max="6" width="14" customWidth="1"/>
    <col min="9" max="11" width="11.109375" customWidth="1"/>
  </cols>
  <sheetData>
    <row r="2" spans="1:16" ht="72" x14ac:dyDescent="0.3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9" t="s">
        <v>9</v>
      </c>
      <c r="K2" s="19" t="s">
        <v>10</v>
      </c>
    </row>
    <row r="3" spans="1:16" ht="18" x14ac:dyDescent="0.35">
      <c r="A3" s="1"/>
      <c r="B3" s="2" t="s">
        <v>11</v>
      </c>
      <c r="C3" s="3">
        <v>0.16</v>
      </c>
      <c r="D3" s="3">
        <f t="shared" ref="D3:D11" si="0">C3*1.5</f>
        <v>0.24</v>
      </c>
      <c r="E3" s="3">
        <v>173.7</v>
      </c>
      <c r="F3" s="3">
        <v>3</v>
      </c>
      <c r="G3" s="4">
        <f t="shared" ref="G3" si="1">E3/F3</f>
        <v>57.9</v>
      </c>
      <c r="H3" s="5">
        <f t="shared" ref="H3" si="2">G3/19.5</f>
        <v>2.9692307692307693</v>
      </c>
      <c r="I3" s="6">
        <f>(H3+D3)*50%+(D3+H3)</f>
        <v>4.8138461538461543</v>
      </c>
      <c r="J3" s="5">
        <f>(H3+D3)*70%+(D3+H3)</f>
        <v>5.4556923076923081</v>
      </c>
      <c r="K3" s="3">
        <f>(H3+D3)*100%+(D3+H3)</f>
        <v>6.4184615384615391</v>
      </c>
      <c r="N3" s="7"/>
    </row>
    <row r="4" spans="1:16" ht="18" x14ac:dyDescent="0.35">
      <c r="A4" s="1"/>
      <c r="B4" s="8" t="s">
        <v>12</v>
      </c>
      <c r="C4" s="9">
        <v>0.9</v>
      </c>
      <c r="D4" s="9">
        <f t="shared" si="0"/>
        <v>1.35</v>
      </c>
      <c r="E4" s="8">
        <v>84.46</v>
      </c>
      <c r="F4" s="9">
        <v>10</v>
      </c>
      <c r="G4" s="4">
        <f t="shared" ref="G4:G14" si="3">E4/F4</f>
        <v>8.4459999999999997</v>
      </c>
      <c r="H4" s="5">
        <f t="shared" ref="H4:H14" si="4">G4/19.5</f>
        <v>0.4331282051282051</v>
      </c>
      <c r="I4" s="6">
        <f t="shared" ref="I4:I14" si="5">(H4+D4)*50%+(D4+H4)</f>
        <v>2.6746923076923075</v>
      </c>
      <c r="J4" s="5">
        <f t="shared" ref="J4:J14" si="6">(H4+D4)*70%+(D4+H4)</f>
        <v>3.0313179487179487</v>
      </c>
      <c r="K4" s="3">
        <f t="shared" ref="K4:K14" si="7">(H4+D4)*100%+(D4+H4)</f>
        <v>3.5662564102564103</v>
      </c>
    </row>
    <row r="5" spans="1:16" ht="18" x14ac:dyDescent="0.35">
      <c r="A5" s="1"/>
      <c r="B5" s="10" t="s">
        <v>13</v>
      </c>
      <c r="C5" s="11">
        <v>0.19</v>
      </c>
      <c r="D5" s="11">
        <f t="shared" si="0"/>
        <v>0.28500000000000003</v>
      </c>
      <c r="E5" s="11">
        <v>236.52</v>
      </c>
      <c r="F5" s="11">
        <v>10</v>
      </c>
      <c r="G5" s="4">
        <f t="shared" si="3"/>
        <v>23.652000000000001</v>
      </c>
      <c r="H5" s="5">
        <f t="shared" si="4"/>
        <v>1.212923076923077</v>
      </c>
      <c r="I5" s="6">
        <f t="shared" si="5"/>
        <v>2.2468846153846154</v>
      </c>
      <c r="J5" s="5">
        <f t="shared" si="6"/>
        <v>2.5464692307692305</v>
      </c>
      <c r="K5" s="3">
        <f t="shared" si="7"/>
        <v>2.9958461538461538</v>
      </c>
    </row>
    <row r="6" spans="1:16" ht="18" x14ac:dyDescent="0.35">
      <c r="A6" s="1"/>
      <c r="B6" s="12" t="s">
        <v>14</v>
      </c>
      <c r="C6" s="9">
        <v>0.2</v>
      </c>
      <c r="D6" s="9">
        <f t="shared" si="0"/>
        <v>0.30000000000000004</v>
      </c>
      <c r="E6" s="9">
        <v>424.5</v>
      </c>
      <c r="F6" s="9">
        <v>5</v>
      </c>
      <c r="G6" s="4">
        <f t="shared" si="3"/>
        <v>84.9</v>
      </c>
      <c r="H6" s="5">
        <f t="shared" si="4"/>
        <v>4.3538461538461544</v>
      </c>
      <c r="I6" s="6">
        <f t="shared" si="5"/>
        <v>6.9807692307692317</v>
      </c>
      <c r="J6" s="5">
        <f t="shared" si="6"/>
        <v>7.9115384615384619</v>
      </c>
      <c r="K6" s="3">
        <f t="shared" si="7"/>
        <v>9.3076923076923084</v>
      </c>
    </row>
    <row r="7" spans="1:16" ht="18" x14ac:dyDescent="0.35">
      <c r="A7" s="1"/>
      <c r="B7" s="8" t="s">
        <v>15</v>
      </c>
      <c r="C7" s="9">
        <v>0.2</v>
      </c>
      <c r="D7" s="9">
        <f t="shared" si="0"/>
        <v>0.30000000000000004</v>
      </c>
      <c r="E7" s="9">
        <v>94.52</v>
      </c>
      <c r="F7" s="9">
        <v>5</v>
      </c>
      <c r="G7" s="4">
        <f t="shared" si="3"/>
        <v>18.904</v>
      </c>
      <c r="H7" s="5">
        <f t="shared" si="4"/>
        <v>0.96943589743589742</v>
      </c>
      <c r="I7" s="6">
        <f t="shared" si="5"/>
        <v>1.9041538461538461</v>
      </c>
      <c r="J7" s="5">
        <f t="shared" si="6"/>
        <v>2.1580410256410256</v>
      </c>
      <c r="K7" s="3">
        <f t="shared" si="7"/>
        <v>2.5388717948717949</v>
      </c>
    </row>
    <row r="8" spans="1:16" ht="18" x14ac:dyDescent="0.35">
      <c r="A8" s="1"/>
      <c r="B8" s="14" t="s">
        <v>16</v>
      </c>
      <c r="C8" s="9">
        <v>1</v>
      </c>
      <c r="D8" s="9">
        <f t="shared" si="0"/>
        <v>1.5</v>
      </c>
      <c r="E8" s="9">
        <v>441.28</v>
      </c>
      <c r="F8" s="9">
        <v>5</v>
      </c>
      <c r="G8" s="4">
        <f t="shared" si="3"/>
        <v>88.256</v>
      </c>
      <c r="H8" s="5">
        <f t="shared" si="4"/>
        <v>4.5259487179487179</v>
      </c>
      <c r="I8" s="6">
        <f t="shared" si="5"/>
        <v>9.0389230769230764</v>
      </c>
      <c r="J8" s="5">
        <f t="shared" si="6"/>
        <v>10.24411282051282</v>
      </c>
      <c r="K8" s="3">
        <f t="shared" si="7"/>
        <v>12.051897435897436</v>
      </c>
    </row>
    <row r="9" spans="1:16" ht="18" x14ac:dyDescent="0.35">
      <c r="A9" s="16"/>
      <c r="B9" s="8" t="s">
        <v>17</v>
      </c>
      <c r="C9" s="9">
        <v>1</v>
      </c>
      <c r="D9" s="9">
        <f t="shared" si="0"/>
        <v>1.5</v>
      </c>
      <c r="E9" s="9">
        <v>412.5</v>
      </c>
      <c r="F9" s="9">
        <v>5</v>
      </c>
      <c r="G9" s="4">
        <f t="shared" si="3"/>
        <v>82.5</v>
      </c>
      <c r="H9" s="5">
        <f t="shared" si="4"/>
        <v>4.2307692307692308</v>
      </c>
      <c r="I9" s="6">
        <f t="shared" si="5"/>
        <v>8.5961538461538467</v>
      </c>
      <c r="J9" s="5">
        <f t="shared" si="6"/>
        <v>9.7423076923076923</v>
      </c>
      <c r="K9" s="3">
        <f t="shared" si="7"/>
        <v>11.461538461538462</v>
      </c>
      <c r="P9" s="13"/>
    </row>
    <row r="10" spans="1:16" ht="18" x14ac:dyDescent="0.35">
      <c r="A10" s="16"/>
      <c r="B10" s="8" t="s">
        <v>18</v>
      </c>
      <c r="C10" s="17">
        <v>1</v>
      </c>
      <c r="D10" s="9">
        <f t="shared" si="0"/>
        <v>1.5</v>
      </c>
      <c r="E10" s="17">
        <v>179</v>
      </c>
      <c r="F10" s="17">
        <v>1</v>
      </c>
      <c r="G10" s="4">
        <f t="shared" si="3"/>
        <v>179</v>
      </c>
      <c r="H10" s="5">
        <f t="shared" si="4"/>
        <v>9.1794871794871788</v>
      </c>
      <c r="I10" s="6">
        <f t="shared" si="5"/>
        <v>16.019230769230766</v>
      </c>
      <c r="J10" s="5">
        <f t="shared" si="6"/>
        <v>18.155128205128204</v>
      </c>
      <c r="K10" s="3">
        <f t="shared" si="7"/>
        <v>21.358974358974358</v>
      </c>
    </row>
    <row r="11" spans="1:16" ht="18" x14ac:dyDescent="0.35">
      <c r="A11" s="16"/>
      <c r="B11" s="8" t="s">
        <v>19</v>
      </c>
      <c r="C11" s="9">
        <v>1.0620000000000001</v>
      </c>
      <c r="D11" s="9">
        <f t="shared" si="0"/>
        <v>1.593</v>
      </c>
      <c r="E11" s="9">
        <v>155.69999999999999</v>
      </c>
      <c r="F11" s="9">
        <v>1</v>
      </c>
      <c r="G11" s="4">
        <f t="shared" si="3"/>
        <v>155.69999999999999</v>
      </c>
      <c r="H11" s="5">
        <f t="shared" si="4"/>
        <v>7.9846153846153838</v>
      </c>
      <c r="I11" s="6">
        <f t="shared" si="5"/>
        <v>14.366423076923077</v>
      </c>
      <c r="J11" s="5">
        <f t="shared" si="6"/>
        <v>16.281946153846153</v>
      </c>
      <c r="K11" s="3">
        <f t="shared" si="7"/>
        <v>19.155230769230769</v>
      </c>
    </row>
    <row r="12" spans="1:16" ht="18" x14ac:dyDescent="0.35">
      <c r="A12" s="1"/>
      <c r="B12" s="15" t="s">
        <v>20</v>
      </c>
      <c r="C12" s="9">
        <v>0.5</v>
      </c>
      <c r="D12" s="9">
        <f t="shared" ref="D12:D14" si="8">1*C12</f>
        <v>0.5</v>
      </c>
      <c r="E12" s="9">
        <v>719.35</v>
      </c>
      <c r="F12" s="9">
        <v>6</v>
      </c>
      <c r="G12" s="4">
        <f t="shared" si="3"/>
        <v>119.89166666666667</v>
      </c>
      <c r="H12" s="5">
        <f t="shared" si="4"/>
        <v>6.1482905982905987</v>
      </c>
      <c r="I12" s="6">
        <f t="shared" si="5"/>
        <v>9.9724358974358971</v>
      </c>
      <c r="J12" s="5">
        <f t="shared" si="6"/>
        <v>11.302094017094017</v>
      </c>
      <c r="K12" s="3">
        <f t="shared" si="7"/>
        <v>13.296581196581197</v>
      </c>
    </row>
    <row r="13" spans="1:16" ht="18" x14ac:dyDescent="0.35">
      <c r="A13" s="1"/>
      <c r="B13" s="15" t="s">
        <v>21</v>
      </c>
      <c r="C13" s="9">
        <v>0.75</v>
      </c>
      <c r="D13" s="9">
        <f t="shared" si="8"/>
        <v>0.75</v>
      </c>
      <c r="E13" s="9">
        <v>851.38</v>
      </c>
      <c r="F13" s="9">
        <v>6</v>
      </c>
      <c r="G13" s="4">
        <f t="shared" si="3"/>
        <v>141.89666666666668</v>
      </c>
      <c r="H13" s="5">
        <f t="shared" si="4"/>
        <v>7.2767521367521368</v>
      </c>
      <c r="I13" s="6">
        <f t="shared" si="5"/>
        <v>12.040128205128205</v>
      </c>
      <c r="J13" s="5">
        <f t="shared" si="6"/>
        <v>13.645478632478632</v>
      </c>
      <c r="K13" s="3">
        <f t="shared" si="7"/>
        <v>16.053504273504274</v>
      </c>
    </row>
    <row r="14" spans="1:16" ht="18" x14ac:dyDescent="0.35">
      <c r="A14" s="1"/>
      <c r="B14" s="15" t="s">
        <v>22</v>
      </c>
      <c r="C14" s="9">
        <v>0.75</v>
      </c>
      <c r="D14" s="9">
        <f t="shared" si="8"/>
        <v>0.75</v>
      </c>
      <c r="E14" s="9">
        <v>254.7</v>
      </c>
      <c r="F14" s="9">
        <v>3</v>
      </c>
      <c r="G14" s="4">
        <f t="shared" si="3"/>
        <v>84.899999999999991</v>
      </c>
      <c r="H14" s="5">
        <f t="shared" si="4"/>
        <v>4.3538461538461535</v>
      </c>
      <c r="I14" s="6">
        <f t="shared" si="5"/>
        <v>7.6557692307692307</v>
      </c>
      <c r="J14" s="5">
        <f t="shared" si="6"/>
        <v>8.6765384615384598</v>
      </c>
      <c r="K14" s="3">
        <f t="shared" si="7"/>
        <v>10.207692307692307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Lozovanu</dc:creator>
  <cp:lastModifiedBy>Tatiana Lozovanu</cp:lastModifiedBy>
  <dcterms:created xsi:type="dcterms:W3CDTF">2015-06-05T18:17:20Z</dcterms:created>
  <dcterms:modified xsi:type="dcterms:W3CDTF">2025-12-11T18:05:48Z</dcterms:modified>
</cp:coreProperties>
</file>